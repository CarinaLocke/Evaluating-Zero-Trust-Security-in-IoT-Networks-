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BA2758F7-B4DC-4E8C-AB57-E1987B8B4BEA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Test Records" sheetId="1" r:id="rId1"/>
    <sheet name="Guide &amp; Metrics" sheetId="2" r:id="rId2"/>
    <sheet name="Metrics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</calcChain>
</file>

<file path=xl/sharedStrings.xml><?xml version="1.0" encoding="utf-8"?>
<sst xmlns="http://schemas.openxmlformats.org/spreadsheetml/2006/main" count="108" uniqueCount="96">
  <si>
    <t>Test ID</t>
  </si>
  <si>
    <t>Phase</t>
  </si>
  <si>
    <t>Linked Test ID</t>
  </si>
  <si>
    <t>Device</t>
  </si>
  <si>
    <t>Source IP</t>
  </si>
  <si>
    <t>Destination</t>
  </si>
  <si>
    <t>Destination IP</t>
  </si>
  <si>
    <t>Scenario</t>
  </si>
  <si>
    <t>Protocol / Service</t>
  </si>
  <si>
    <t>Identity</t>
  </si>
  <si>
    <t>Authorization</t>
  </si>
  <si>
    <t>Behavior</t>
  </si>
  <si>
    <t>Suspicious Activity</t>
  </si>
  <si>
    <t>Trust Score</t>
  </si>
  <si>
    <t>Classification</t>
  </si>
  <si>
    <t>Expected Label</t>
  </si>
  <si>
    <t>Response / Control</t>
  </si>
  <si>
    <t>Initial Outcome</t>
  </si>
  <si>
    <t>Retest Outcome</t>
  </si>
  <si>
    <t>Successful Replies</t>
  </si>
  <si>
    <t>Attempts</t>
  </si>
  <si>
    <t>Evidence Filename</t>
  </si>
  <si>
    <t>Configuration / Notes</t>
  </si>
  <si>
    <t>Tester</t>
  </si>
  <si>
    <t>Expected Traffic</t>
  </si>
  <si>
    <t>Detected Suspicious?</t>
  </si>
  <si>
    <t>Connection Allowed?</t>
  </si>
  <si>
    <t>Restoration Status</t>
  </si>
  <si>
    <t>Restoration Checks</t>
  </si>
  <si>
    <t>Restoration Retest</t>
  </si>
  <si>
    <t>Response Verified?</t>
  </si>
  <si>
    <t>Run Valid?</t>
  </si>
  <si>
    <t>Run Date</t>
  </si>
  <si>
    <t>ZT-001</t>
  </si>
  <si>
    <t>Before ACL</t>
  </si>
  <si>
    <t>ZT-002</t>
  </si>
  <si>
    <t>Rogue-Device</t>
  </si>
  <si>
    <t>192.168.10.50</t>
  </si>
  <si>
    <t>IoT-Server</t>
  </si>
  <si>
    <t>192.168.30.10</t>
  </si>
  <si>
    <t>Rogue device to IoT server</t>
  </si>
  <si>
    <t>ICMP</t>
  </si>
  <si>
    <t>No ACL applied</t>
  </si>
  <si>
    <t>3 of 4 ping replies; first timed out</t>
  </si>
  <si>
    <t>Rogue_to_IoT_Before_ACL.png</t>
  </si>
  <si>
    <t>Baseline screenshot; first timeout cause unverified</t>
  </si>
  <si>
    <t>Maria</t>
  </si>
  <si>
    <t>After ACL</t>
  </si>
  <si>
    <t>IOT-POLICY (inbound VLAN 10)</t>
  </si>
  <si>
    <t>0 of 4 ping replies; gateway reports destination unreachable</t>
  </si>
  <si>
    <t>Rogue_to_IoT_After_ACL.png</t>
  </si>
  <si>
    <t>ACL configured; verify matched rule counters if needed</t>
  </si>
  <si>
    <t>ZERO-TRUST IOT | TEST LOG GUIDE</t>
  </si>
  <si>
    <t>Purpose</t>
  </si>
  <si>
    <t>Record each attempt separately; link before and after tests by ID. Do not fill unknown values with assumptions.</t>
  </si>
  <si>
    <t>Evidence status</t>
  </si>
  <si>
    <t>Two observed ICMP tests entered; trust scores and classifications await Bryan's rules.</t>
  </si>
  <si>
    <t>Before vs After</t>
  </si>
  <si>
    <t>Use matching device, destination, protocol, and scenario; record test outcomes separately.</t>
  </si>
  <si>
    <t>Detection vs Blocking</t>
  </si>
  <si>
    <t>A blocked packet is not automatically evidence of correct trust classification.</t>
  </si>
  <si>
    <t>Quarantine</t>
  </si>
  <si>
    <t>VLAN 99 ACL exists, but device reassignment and isolation have not been tested.</t>
  </si>
  <si>
    <t>Expected label</t>
  </si>
  <si>
    <t>Keep separate from classification until after scoring to avoid bias.</t>
  </si>
  <si>
    <t>IP address alone does not prove device identity.</t>
  </si>
  <si>
    <t>Evidence filenames</t>
  </si>
  <si>
    <t>Replace proposed filenames with actual names if different in GitHub.</t>
  </si>
  <si>
    <t>METRIC</t>
  </si>
  <si>
    <t>FORMULA / INTERPRETATION</t>
  </si>
  <si>
    <t>Detection rate</t>
  </si>
  <si>
    <t>Suspicious attempts correctly detected / all suspicious attempts × 100</t>
  </si>
  <si>
    <t>False-positive rate</t>
  </si>
  <si>
    <t>Legitimate attempts wrongly flagged / all legitimate attempts × 100</t>
  </si>
  <si>
    <t>Blocking rate</t>
  </si>
  <si>
    <t>Unauthorized attempts blocked / all unauthorized attempts × 100</t>
  </si>
  <si>
    <t>Legitimate allowance rate</t>
  </si>
  <si>
    <t>Legitimate attempts allowed / all legitimate attempts × 100</t>
  </si>
  <si>
    <t>Distinct unauthorized devices</t>
  </si>
  <si>
    <t>Count unique unauthorized devices, not repeated attempts.</t>
  </si>
  <si>
    <t>Note</t>
  </si>
  <si>
    <t>Leave rates N/A until enough validated test records exist. Avoid treating ping failure alone as proof of all service blocking.</t>
  </si>
  <si>
    <t>ZERO-TRUST IOT | METRICS DASHBOARD</t>
  </si>
  <si>
    <t>Metric</t>
  </si>
  <si>
    <t>Result</t>
  </si>
  <si>
    <t>Definition</t>
  </si>
  <si>
    <t>Suspicious/unauthorized attempts flagged; verified runs only</t>
  </si>
  <si>
    <t>Legitimate attempts incorrectly flagged</t>
  </si>
  <si>
    <t>Unauthorized attempts blocked</t>
  </si>
  <si>
    <t>Legitimate attempts allowed</t>
  </si>
  <si>
    <t>Important</t>
  </si>
  <si>
    <t>Only mark Run Valid? = Yes after confirming the evidence and expected traffic label.</t>
  </si>
  <si>
    <t>Unverified</t>
  </si>
  <si>
    <t>Current ping tests are preserved, but their classification and verified status are intentionally blank.</t>
  </si>
  <si>
    <t>Capacity</t>
  </si>
  <si>
    <t>201 test rows are prepared; extend dropdowns/formulas if your experiment exceeds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</si>
</sst>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0F766E"/>
      </patternFill>
    </fill>
    <fill>
      <patternFill patternType="solid">
        <fgColor rgb="FF174B65"/>
      </patternFill>
    </fill>
    <fill>
      <patternFill patternType="solid">
        <fgColor rgb="FFDC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2" fillId="5" borderId="0" xfId="0" applyFont="1" applyFill="1"/>
    <xf numFmtId="165" fontId="0" fillId="0" borderId="0" xfId="0" applyNumberForma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2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25"/>
  <cols>
    <col min="1" max="1" width="13" customWidth="1"/>
    <col min="2" max="3" width="16" customWidth="1"/>
    <col min="4" max="4" width="20" customWidth="1"/>
    <col min="5" max="5" width="18" customWidth="1"/>
    <col min="6" max="6" width="19" customWidth="1"/>
    <col min="7" max="7" width="18" customWidth="1"/>
    <col min="8" max="8" width="30" customWidth="1"/>
    <col min="9" max="9" width="20" customWidth="1"/>
    <col min="10" max="12" width="18" customWidth="1"/>
    <col min="13" max="13" width="21" customWidth="1"/>
    <col min="14" max="14" width="15" customWidth="1"/>
    <col min="15" max="15" width="18" customWidth="1"/>
    <col min="16" max="16" width="19" customWidth="1"/>
    <col min="17" max="17" width="29" customWidth="1"/>
    <col min="18" max="18" width="48" customWidth="1"/>
    <col min="19" max="19" width="27" customWidth="1"/>
    <col min="20" max="20" width="17" customWidth="1"/>
    <col min="21" max="21" width="12" customWidth="1"/>
    <col min="22" max="22" width="34" customWidth="1"/>
    <col min="23" max="23" width="54" customWidth="1"/>
    <col min="24" max="24" width="16" customWidth="1"/>
    <col min="25" max="28" width="19" customWidth="1"/>
    <col min="29" max="31" width="28" customWidth="1"/>
    <col min="32" max="33" width="19" customWidth="1"/>
  </cols>
  <sheetData>
    <row r="1" spans="1:33" ht="38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ht="51.95" customHeight="1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/>
      <c r="K2" s="2"/>
      <c r="L2" s="2"/>
      <c r="M2" s="2"/>
      <c r="N2" s="2"/>
      <c r="O2" s="2"/>
      <c r="P2" s="2"/>
      <c r="Q2" s="2" t="s">
        <v>42</v>
      </c>
      <c r="R2" s="2" t="s">
        <v>43</v>
      </c>
      <c r="S2" s="2"/>
      <c r="T2" s="2">
        <v>3</v>
      </c>
      <c r="U2" s="2">
        <v>4</v>
      </c>
      <c r="V2" s="2" t="s">
        <v>44</v>
      </c>
      <c r="W2" s="2" t="s">
        <v>45</v>
      </c>
      <c r="X2" s="2" t="s">
        <v>46</v>
      </c>
      <c r="AG2" s="5"/>
    </row>
    <row r="3" spans="1:33" ht="51.95" customHeight="1">
      <c r="A3" s="2">
        <v>2</v>
      </c>
      <c r="B3" s="2" t="s">
        <v>47</v>
      </c>
      <c r="C3" s="2" t="s">
        <v>33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/>
      <c r="K3" s="2"/>
      <c r="L3" s="2"/>
      <c r="M3" s="2"/>
      <c r="N3" s="2"/>
      <c r="O3" s="2"/>
      <c r="P3" s="2"/>
      <c r="Q3" s="2" t="s">
        <v>48</v>
      </c>
      <c r="R3" s="2" t="s">
        <v>49</v>
      </c>
      <c r="S3" s="2"/>
      <c r="T3" s="2">
        <v>0</v>
      </c>
      <c r="U3" s="2">
        <v>4</v>
      </c>
      <c r="V3" s="2" t="s">
        <v>50</v>
      </c>
      <c r="W3" s="2" t="s">
        <v>51</v>
      </c>
      <c r="X3" s="2" t="s">
        <v>46</v>
      </c>
      <c r="AG3" s="5"/>
    </row>
    <row r="4" spans="1:33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6"/>
    </row>
    <row r="5" spans="1:33" ht="24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6"/>
    </row>
    <row r="6" spans="1:33" ht="24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6"/>
    </row>
    <row r="7" spans="1:33" ht="2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6"/>
    </row>
    <row r="8" spans="1:33" ht="24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6"/>
    </row>
    <row r="9" spans="1:33" ht="2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6"/>
    </row>
    <row r="10" spans="1:33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6"/>
    </row>
    <row r="11" spans="1:33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6"/>
    </row>
    <row r="12" spans="1:33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"/>
    </row>
    <row r="13" spans="1:33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6"/>
    </row>
    <row r="14" spans="1:33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6"/>
    </row>
    <row r="15" spans="1:33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6"/>
    </row>
    <row r="16" spans="1:33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6"/>
    </row>
    <row r="17" spans="1:33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6"/>
    </row>
    <row r="18" spans="1:33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6"/>
    </row>
    <row r="19" spans="1:33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6"/>
    </row>
    <row r="20" spans="1:33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6"/>
    </row>
    <row r="21" spans="1:33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6"/>
    </row>
    <row r="22" spans="1:33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6"/>
    </row>
    <row r="23" spans="1:33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6"/>
    </row>
    <row r="24" spans="1:33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6"/>
    </row>
    <row r="25" spans="1:33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6"/>
    </row>
    <row r="26" spans="1:33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6"/>
    </row>
    <row r="27" spans="1:33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6"/>
    </row>
    <row r="28" spans="1:33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6"/>
    </row>
    <row r="29" spans="1:33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6"/>
    </row>
    <row r="30" spans="1:33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6"/>
    </row>
    <row r="31" spans="1:33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6"/>
    </row>
    <row r="32" spans="1:33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6"/>
    </row>
    <row r="33" spans="1:33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6"/>
    </row>
    <row r="34" spans="1:33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6"/>
    </row>
    <row r="35" spans="1:33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6"/>
    </row>
    <row r="36" spans="1:33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6"/>
    </row>
    <row r="37" spans="1:33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6"/>
    </row>
    <row r="38" spans="1:33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6"/>
    </row>
    <row r="39" spans="1:33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6"/>
    </row>
    <row r="40" spans="1:33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6"/>
    </row>
    <row r="41" spans="1:33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6"/>
    </row>
    <row r="42" spans="1:33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6"/>
    </row>
    <row r="43" spans="1:33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6"/>
    </row>
    <row r="44" spans="1:33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6"/>
    </row>
    <row r="45" spans="1:33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6"/>
    </row>
    <row r="46" spans="1:33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6"/>
    </row>
    <row r="47" spans="1:33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6"/>
    </row>
    <row r="48" spans="1:33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6"/>
    </row>
    <row r="49" spans="1:33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6"/>
    </row>
    <row r="50" spans="1:33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6"/>
    </row>
    <row r="51" spans="1:33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6"/>
    </row>
    <row r="52" spans="1:33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6"/>
    </row>
    <row r="53" spans="1:33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6"/>
    </row>
    <row r="54" spans="1:33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6"/>
    </row>
    <row r="55" spans="1:33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6"/>
    </row>
    <row r="56" spans="1:33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6"/>
    </row>
    <row r="57" spans="1:33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6"/>
    </row>
    <row r="58" spans="1:33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6"/>
    </row>
    <row r="59" spans="1:33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6"/>
    </row>
    <row r="60" spans="1:33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6"/>
    </row>
    <row r="61" spans="1:33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6"/>
    </row>
    <row r="62" spans="1:33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6"/>
    </row>
    <row r="63" spans="1:33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6"/>
    </row>
    <row r="64" spans="1:33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6"/>
    </row>
    <row r="65" spans="1:33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6"/>
    </row>
    <row r="66" spans="1:33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6"/>
    </row>
    <row r="67" spans="1:33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6"/>
    </row>
    <row r="68" spans="1:33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6"/>
    </row>
    <row r="69" spans="1:33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6"/>
    </row>
    <row r="70" spans="1:33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6"/>
    </row>
    <row r="71" spans="1:33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6"/>
    </row>
    <row r="72" spans="1:33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6"/>
    </row>
    <row r="73" spans="1:33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6"/>
    </row>
    <row r="74" spans="1:33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6"/>
    </row>
    <row r="75" spans="1:33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6"/>
    </row>
    <row r="76" spans="1:33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6"/>
    </row>
    <row r="77" spans="1:33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6"/>
    </row>
    <row r="78" spans="1:33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6"/>
    </row>
    <row r="79" spans="1:33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6"/>
    </row>
    <row r="80" spans="1:33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6"/>
    </row>
    <row r="81" spans="1:33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6"/>
    </row>
    <row r="82" spans="1:33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6"/>
    </row>
    <row r="83" spans="1:33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6"/>
    </row>
    <row r="84" spans="1:33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6"/>
    </row>
    <row r="85" spans="1:33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6"/>
    </row>
    <row r="86" spans="1:33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6"/>
    </row>
    <row r="87" spans="1:33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6"/>
    </row>
    <row r="88" spans="1:33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6"/>
    </row>
    <row r="89" spans="1:33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6"/>
    </row>
    <row r="90" spans="1:33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6"/>
    </row>
    <row r="91" spans="1:33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6"/>
    </row>
    <row r="92" spans="1:33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6"/>
    </row>
    <row r="93" spans="1:33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6"/>
    </row>
    <row r="94" spans="1:33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6"/>
    </row>
    <row r="95" spans="1:33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6"/>
    </row>
    <row r="96" spans="1:33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6"/>
    </row>
    <row r="97" spans="1:33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6"/>
    </row>
    <row r="98" spans="1:33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6"/>
    </row>
    <row r="99" spans="1:33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6"/>
    </row>
    <row r="100" spans="1:33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6"/>
    </row>
    <row r="101" spans="1:33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6"/>
    </row>
    <row r="102" spans="1:33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6"/>
    </row>
    <row r="103" spans="1:33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6"/>
    </row>
    <row r="104" spans="1:33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6"/>
    </row>
    <row r="105" spans="1:33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6"/>
    </row>
    <row r="106" spans="1:33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6"/>
    </row>
    <row r="107" spans="1:33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6"/>
    </row>
    <row r="108" spans="1:33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6"/>
    </row>
    <row r="109" spans="1:33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6"/>
    </row>
    <row r="110" spans="1:33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6"/>
    </row>
    <row r="111" spans="1:33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6"/>
    </row>
    <row r="112" spans="1:33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6"/>
    </row>
    <row r="113" spans="1:33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6"/>
    </row>
    <row r="114" spans="1:33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6"/>
    </row>
    <row r="115" spans="1:33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6"/>
    </row>
    <row r="116" spans="1:33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6"/>
    </row>
    <row r="117" spans="1:33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6"/>
    </row>
    <row r="118" spans="1:33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6"/>
    </row>
    <row r="119" spans="1:33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6"/>
    </row>
    <row r="120" spans="1:33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6"/>
    </row>
    <row r="121" spans="1:33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6"/>
    </row>
    <row r="122" spans="1:33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6"/>
    </row>
    <row r="123" spans="1:33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6"/>
    </row>
    <row r="124" spans="1:33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6"/>
    </row>
    <row r="125" spans="1:33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6"/>
    </row>
    <row r="126" spans="1:33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6"/>
    </row>
    <row r="127" spans="1:33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6"/>
    </row>
    <row r="128" spans="1:33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6"/>
    </row>
    <row r="129" spans="1:33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6"/>
    </row>
    <row r="130" spans="1:33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6"/>
    </row>
    <row r="131" spans="1:33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6"/>
    </row>
    <row r="132" spans="1:33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6"/>
    </row>
    <row r="133" spans="1:33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6"/>
    </row>
    <row r="134" spans="1:33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6"/>
    </row>
    <row r="135" spans="1:33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6"/>
    </row>
    <row r="136" spans="1:33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6"/>
    </row>
    <row r="137" spans="1:33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6"/>
    </row>
    <row r="138" spans="1:33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6"/>
    </row>
    <row r="139" spans="1:33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6"/>
    </row>
    <row r="140" spans="1:33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6"/>
    </row>
    <row r="141" spans="1:33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6"/>
    </row>
    <row r="142" spans="1:33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6"/>
    </row>
    <row r="143" spans="1:33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6"/>
    </row>
    <row r="144" spans="1:33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6"/>
    </row>
    <row r="145" spans="1:33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6"/>
    </row>
    <row r="146" spans="1:33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6"/>
    </row>
    <row r="147" spans="1:33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6"/>
    </row>
    <row r="148" spans="1:33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6"/>
    </row>
    <row r="149" spans="1:33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6"/>
    </row>
    <row r="150" spans="1:33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6"/>
    </row>
    <row r="151" spans="1:33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6"/>
    </row>
    <row r="152" spans="1:33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6"/>
    </row>
    <row r="153" spans="1:33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6"/>
    </row>
    <row r="154" spans="1:33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6"/>
    </row>
    <row r="155" spans="1:33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6"/>
    </row>
    <row r="156" spans="1:33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6"/>
    </row>
    <row r="157" spans="1:33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6"/>
    </row>
    <row r="158" spans="1:33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6"/>
    </row>
    <row r="159" spans="1:33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6"/>
    </row>
    <row r="160" spans="1:33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6"/>
    </row>
    <row r="161" spans="1:33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6"/>
    </row>
    <row r="162" spans="1:33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6"/>
    </row>
    <row r="163" spans="1:33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6"/>
    </row>
    <row r="164" spans="1:33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6"/>
    </row>
    <row r="165" spans="1:33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6"/>
    </row>
    <row r="166" spans="1:33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6"/>
    </row>
    <row r="167" spans="1:33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6"/>
    </row>
    <row r="168" spans="1:33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6"/>
    </row>
    <row r="169" spans="1:33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6"/>
    </row>
    <row r="170" spans="1:33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6"/>
    </row>
    <row r="171" spans="1:33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6"/>
    </row>
    <row r="172" spans="1:33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6"/>
    </row>
    <row r="173" spans="1:33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6"/>
    </row>
    <row r="174" spans="1:33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6"/>
    </row>
    <row r="175" spans="1:33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6"/>
    </row>
    <row r="176" spans="1:33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6"/>
    </row>
    <row r="177" spans="1:33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6"/>
    </row>
    <row r="178" spans="1:33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6"/>
    </row>
    <row r="179" spans="1:33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6"/>
    </row>
    <row r="180" spans="1:33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6"/>
    </row>
    <row r="181" spans="1:33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6"/>
    </row>
    <row r="182" spans="1:33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6"/>
    </row>
    <row r="183" spans="1:33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6"/>
    </row>
    <row r="184" spans="1:33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6"/>
    </row>
    <row r="185" spans="1:33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6"/>
    </row>
    <row r="186" spans="1:33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6"/>
    </row>
    <row r="187" spans="1:33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6"/>
    </row>
    <row r="188" spans="1:33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6"/>
    </row>
    <row r="189" spans="1:33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6"/>
    </row>
    <row r="190" spans="1:33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6"/>
    </row>
    <row r="191" spans="1:33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6"/>
    </row>
    <row r="192" spans="1:33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6"/>
    </row>
    <row r="193" spans="1:33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6"/>
    </row>
    <row r="194" spans="1:33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6"/>
    </row>
    <row r="195" spans="1:33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6"/>
    </row>
    <row r="196" spans="1:33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6"/>
    </row>
    <row r="197" spans="1:33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6"/>
    </row>
    <row r="198" spans="1:33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6"/>
    </row>
    <row r="199" spans="1:33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6"/>
    </row>
    <row r="200" spans="1:33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6"/>
    </row>
    <row r="201" spans="1:33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6"/>
    </row>
    <row r="202" spans="1:33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6"/>
    </row>
  </sheetData>
  <dataValidations count="13">
    <dataValidation type="list" sqref="B4:B150" xr:uid="{00000000-0002-0000-0000-000000000000}">
      <formula1>"Before ACL,After ACL,Quarantine,Restoration"</formula1>
    </dataValidation>
    <dataValidation type="list" sqref="O2:O202" xr:uid="{00000000-0002-0000-0000-000001000000}">
      <formula1>"Trusted,Suspicious,Untrusted"</formula1>
    </dataValidation>
    <dataValidation type="list" sqref="J2:J202" xr:uid="{00000000-0002-0000-0000-000002000000}">
      <formula1>"Registered,Unknown,Unverified"</formula1>
    </dataValidation>
    <dataValidation type="list" sqref="K4:K150" xr:uid="{00000000-0002-0000-0000-000003000000}">
      <formula1>"Authorized,Unauthorized,Pending verification"</formula1>
    </dataValidation>
    <dataValidation type="list" sqref="B2:B202" xr:uid="{00000000-0002-0000-0000-000004000000}">
      <formula1>"Before ACL,After ACL,Response Test,Restoration Test"</formula1>
    </dataValidation>
    <dataValidation type="list" sqref="K2:K202" xr:uid="{00000000-0002-0000-0000-000006000000}">
      <formula1>"Authorized,Unauthorized,Unverified"</formula1>
    </dataValidation>
    <dataValidation type="list" sqref="L2:L202" xr:uid="{00000000-0002-0000-0000-000007000000}">
      <formula1>"Normal,Abnormal,Unverified"</formula1>
    </dataValidation>
    <dataValidation type="list" sqref="M2:M202" xr:uid="{00000000-0002-0000-0000-000008000000}">
      <formula1>"Yes,No,Unverified"</formula1>
    </dataValidation>
    <dataValidation type="list" sqref="P2:P202" xr:uid="{00000000-0002-0000-0000-00000A000000}">
      <formula1>"Legitimate,Suspicious"</formula1>
    </dataValidation>
    <dataValidation type="list" sqref="Y2:Y202" xr:uid="{00000000-0002-0000-0000-00000B000000}">
      <formula1>"Legitimate,Unauthorized"</formula1>
    </dataValidation>
    <dataValidation type="list" sqref="AF2:AF202 Z2:AA202" xr:uid="{00000000-0002-0000-0000-00000C000000}">
      <formula1>"Yes,No,Not Evaluated"</formula1>
    </dataValidation>
    <dataValidation type="list" sqref="AB2:AB202" xr:uid="{00000000-0002-0000-0000-00000E000000}">
      <formula1>"Not Started,Quarantined,Pending Review,Restored,Failed"</formula1>
    </dataValidation>
    <dataValidation type="list" sqref="AE2:AE202" xr:uid="{00000000-0002-0000-0000-00000F000000}">
      <formula1>"Pass,Fail,Not Tested"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opLeftCell="A9" workbookViewId="0"/>
  </sheetViews>
  <sheetFormatPr defaultRowHeight="14.25"/>
  <cols>
    <col min="1" max="1" width="29" customWidth="1"/>
    <col min="2" max="2" width="105" customWidth="1"/>
  </cols>
  <sheetData>
    <row r="1" spans="1:2" ht="30" customHeight="1">
      <c r="A1" s="1" t="s">
        <v>52</v>
      </c>
      <c r="B1" s="1"/>
    </row>
    <row r="2" spans="1:2" ht="38.1" customHeight="1">
      <c r="A2" s="2" t="s">
        <v>53</v>
      </c>
      <c r="B2" s="2" t="s">
        <v>54</v>
      </c>
    </row>
    <row r="3" spans="1:2" ht="38.1" customHeight="1">
      <c r="A3" s="2" t="s">
        <v>55</v>
      </c>
      <c r="B3" s="2" t="s">
        <v>56</v>
      </c>
    </row>
    <row r="4" spans="1:2" ht="38.1" customHeight="1">
      <c r="A4" s="2" t="s">
        <v>57</v>
      </c>
      <c r="B4" s="2" t="s">
        <v>58</v>
      </c>
    </row>
    <row r="5" spans="1:2" ht="38.1" customHeight="1">
      <c r="A5" s="2" t="s">
        <v>59</v>
      </c>
      <c r="B5" s="2" t="s">
        <v>60</v>
      </c>
    </row>
    <row r="6" spans="1:2" ht="38.1" customHeight="1">
      <c r="A6" s="2" t="s">
        <v>61</v>
      </c>
      <c r="B6" s="2" t="s">
        <v>62</v>
      </c>
    </row>
    <row r="7" spans="1:2" ht="38.1" customHeight="1">
      <c r="A7" s="2" t="s">
        <v>63</v>
      </c>
      <c r="B7" s="2" t="s">
        <v>64</v>
      </c>
    </row>
    <row r="8" spans="1:2" ht="38.1" customHeight="1">
      <c r="A8" s="2" t="s">
        <v>9</v>
      </c>
      <c r="B8" s="2" t="s">
        <v>65</v>
      </c>
    </row>
    <row r="9" spans="1:2" ht="38.1" customHeight="1">
      <c r="A9" s="2" t="s">
        <v>66</v>
      </c>
      <c r="B9" s="2" t="s">
        <v>67</v>
      </c>
    </row>
    <row r="10" spans="1:2" ht="38.1" customHeight="1">
      <c r="A10" s="2"/>
      <c r="B10" s="2"/>
    </row>
    <row r="11" spans="1:2" ht="38.1" customHeight="1">
      <c r="A11" s="3" t="s">
        <v>68</v>
      </c>
      <c r="B11" s="3" t="s">
        <v>69</v>
      </c>
    </row>
    <row r="12" spans="1:2" ht="38.1" customHeight="1">
      <c r="A12" s="2" t="s">
        <v>70</v>
      </c>
      <c r="B12" s="2" t="s">
        <v>71</v>
      </c>
    </row>
    <row r="13" spans="1:2" ht="38.1" customHeight="1">
      <c r="A13" s="2" t="s">
        <v>72</v>
      </c>
      <c r="B13" s="2" t="s">
        <v>73</v>
      </c>
    </row>
    <row r="14" spans="1:2" ht="38.1" customHeight="1">
      <c r="A14" s="2" t="s">
        <v>74</v>
      </c>
      <c r="B14" s="2" t="s">
        <v>75</v>
      </c>
    </row>
    <row r="15" spans="1:2" ht="38.1" customHeight="1">
      <c r="A15" s="2" t="s">
        <v>76</v>
      </c>
      <c r="B15" s="2" t="s">
        <v>77</v>
      </c>
    </row>
    <row r="16" spans="1:2" ht="38.1" customHeight="1">
      <c r="A16" s="2" t="s">
        <v>78</v>
      </c>
      <c r="B16" s="2" t="s">
        <v>79</v>
      </c>
    </row>
    <row r="17" spans="1:2" ht="38.1" customHeight="1">
      <c r="A17" s="2" t="s">
        <v>80</v>
      </c>
      <c r="B17" s="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3" topLeftCell="A4" activePane="bottomLeft" state="frozen"/>
      <selection pane="bottomLeft" sqref="A1:D1"/>
    </sheetView>
  </sheetViews>
  <sheetFormatPr defaultRowHeight="14.25"/>
  <cols>
    <col min="1" max="1" width="27" customWidth="1"/>
    <col min="2" max="2" width="32" customWidth="1"/>
    <col min="3" max="3" width="65" customWidth="1"/>
  </cols>
  <sheetData>
    <row r="1" spans="1:4" ht="33.950000000000003" customHeight="1">
      <c r="A1" s="9" t="s">
        <v>82</v>
      </c>
      <c r="B1" s="9"/>
      <c r="C1" s="9"/>
      <c r="D1" s="9"/>
    </row>
    <row r="3" spans="1:4" ht="27.95" customHeight="1">
      <c r="A3" s="7" t="s">
        <v>83</v>
      </c>
      <c r="B3" s="7" t="s">
        <v>84</v>
      </c>
      <c r="C3" s="7" t="s">
        <v>85</v>
      </c>
    </row>
    <row r="4" spans="1:4">
      <c r="A4" t="s">
        <v>70</v>
      </c>
      <c r="B4" s="8" t="str">
        <f>IFERROR(COUNTIFS('Test Records'!Y2:Y202,"Unauthorized",'Test Records'!Z2:Z202,"Yes",'Test Records'!AF2:AF202,"Yes")/COUNTIFS('Test Records'!Y2:Y202,"Unauthorized",'Test Records'!AF2:AF202,"Yes"),"N/A")</f>
        <v>N/A</v>
      </c>
      <c r="C4" t="s">
        <v>86</v>
      </c>
    </row>
    <row r="5" spans="1:4">
      <c r="A5" t="s">
        <v>72</v>
      </c>
      <c r="B5" s="8" t="str">
        <f>IFERROR(COUNTIFS('Test Records'!Y2:Y202,"Legitimate",'Test Records'!Z2:Z202,"Yes",'Test Records'!AF2:AF202,"Yes")/COUNTIFS('Test Records'!Y2:Y202,"Legitimate",'Test Records'!AF2:AF202,"Yes"),"N/A")</f>
        <v>N/A</v>
      </c>
      <c r="C5" t="s">
        <v>87</v>
      </c>
    </row>
    <row r="6" spans="1:4">
      <c r="A6" t="s">
        <v>74</v>
      </c>
      <c r="B6" s="8" t="str">
        <f>IFERROR(COUNTIFS('Test Records'!Y2:Y202,"Unauthorized",'Test Records'!AA2:AA202,"No",'Test Records'!AF2:AF202,"Yes")/COUNTIFS('Test Records'!Y2:Y202,"Unauthorized",'Test Records'!AF2:AF202,"Yes"),"N/A")</f>
        <v>N/A</v>
      </c>
      <c r="C6" t="s">
        <v>88</v>
      </c>
    </row>
    <row r="7" spans="1:4">
      <c r="A7" t="s">
        <v>76</v>
      </c>
      <c r="B7" s="8" t="str">
        <f>IFERROR(COUNTIFS('Test Records'!Y2:Y202,"Legitimate",'Test Records'!AA2:AA202,"Yes",'Test Records'!AF2:AF202,"Yes")/COUNTIFS('Test Records'!Y2:Y202,"Legitimate",'Test Records'!AF2:AF202,"Yes"),"N/A")</f>
        <v>N/A</v>
      </c>
      <c r="C7" t="s">
        <v>89</v>
      </c>
    </row>
    <row r="10" spans="1:4" ht="42.75">
      <c r="A10" s="2" t="s">
        <v>90</v>
      </c>
      <c r="B10" s="2" t="s">
        <v>91</v>
      </c>
      <c r="C10" s="2"/>
    </row>
    <row r="11" spans="1:4" ht="42.75">
      <c r="A11" s="2" t="s">
        <v>92</v>
      </c>
      <c r="B11" s="2" t="s">
        <v>93</v>
      </c>
      <c r="C11" s="2"/>
    </row>
    <row r="12" spans="1:4" ht="42.75">
      <c r="A12" s="2" t="s">
        <v>94</v>
      </c>
      <c r="B12" s="2" t="s">
        <v>95</v>
      </c>
      <c r="C12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Records</vt:lpstr>
      <vt:lpstr>Guide &amp; Metrics</vt:lpstr>
      <vt:lpstr>Metrics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</dc:creator>
  <cp:lastModifiedBy>Maria S</cp:lastModifiedBy>
  <dcterms:created xsi:type="dcterms:W3CDTF">2026-10-30T01:20:20Z</dcterms:created>
  <dcterms:modified xsi:type="dcterms:W3CDTF">2026-10-30T01:36:26Z</dcterms:modified>
</cp:coreProperties>
</file>