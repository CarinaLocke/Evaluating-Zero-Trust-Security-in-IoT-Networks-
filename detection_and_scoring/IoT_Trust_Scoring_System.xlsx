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acefeb30fa818d4/Documents/"/>
    </mc:Choice>
  </mc:AlternateContent>
  <xr:revisionPtr revIDLastSave="0" documentId="8_{FFE29586-E870-47F2-8DD6-F3289211BF41}" xr6:coauthVersionLast="47" xr6:coauthVersionMax="47" xr10:uidLastSave="{00000000-0000-0000-0000-000000000000}"/>
  <bookViews>
    <workbookView xWindow="-108" yWindow="-108" windowWidth="23256" windowHeight="12456" xr2:uid="{52C0E689-9DD3-412E-9B7A-59017982D8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H3" i="1"/>
  <c r="H4" i="1"/>
  <c r="H5" i="1"/>
  <c r="H6" i="1"/>
  <c r="H2" i="1"/>
  <c r="I2" i="1" s="1"/>
</calcChain>
</file>

<file path=xl/sharedStrings.xml><?xml version="1.0" encoding="utf-8"?>
<sst xmlns="http://schemas.openxmlformats.org/spreadsheetml/2006/main" count="44" uniqueCount="16">
  <si>
    <t>Device Name</t>
  </si>
  <si>
    <t>Registered Device</t>
  </si>
  <si>
    <t>Normal Behavior</t>
  </si>
  <si>
    <t>Authorized Destination</t>
  </si>
  <si>
    <t>Unknown Device</t>
  </si>
  <si>
    <t>Abnormal Traffic</t>
  </si>
  <si>
    <t>Unauthorized Access</t>
  </si>
  <si>
    <t>Total Score</t>
  </si>
  <si>
    <t>Classification</t>
  </si>
  <si>
    <t>Motion Sensor</t>
  </si>
  <si>
    <t>Smart Camera</t>
  </si>
  <si>
    <t>Thermostat</t>
  </si>
  <si>
    <t>Door Lock</t>
  </si>
  <si>
    <t>Rogue Device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</si>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</sst>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7"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E8131-B5B0-421F-BE12-7942713375CF}">
  <dimension ref="A1:I6"/>
  <sheetViews>
    <sheetView tabSelected="1" topLeftCell="D1" workbookViewId="0">
      <selection activeCell="C3" sqref="C3"/>
    </sheetView>
  </sheetViews>
  <sheetFormatPr defaultRowHeight="14.4"/>
  <cols>
    <col min="1" max="1" width="13.21875" customWidth="1"/>
    <col min="2" max="2" width="16" customWidth="1"/>
    <col min="3" max="3" width="14.5546875" customWidth="1"/>
    <col min="4" max="4" width="19.44140625" customWidth="1"/>
    <col min="5" max="6" width="14.88671875" customWidth="1"/>
    <col min="7" max="7" width="18.109375" customWidth="1"/>
    <col min="8" max="8" width="14.77734375" customWidth="1"/>
    <col min="9" max="9" width="14.2187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14</v>
      </c>
      <c r="C2" t="s">
        <v>14</v>
      </c>
      <c r="D2" t="s">
        <v>14</v>
      </c>
      <c r="E2" t="s">
        <v>15</v>
      </c>
      <c r="F2" t="s">
        <v>15</v>
      </c>
      <c r="G2" t="s">
        <v>15</v>
      </c>
      <c r="H2" s="1">
        <f>IF(B2="Yes",2,0)+IF(C2="Yes",2,0)+IF(D2="Yes",1,0)-IF(E2="Yes",3,0)-IF(F2="Yes",2,0)-IF(G2="Yes",3,0)</f>
        <v>5</v>
      </c>
      <c r="I2" s="1" t="str">
        <f>IF(H2&gt;=3,"Trusted",IF(H2&gt;=0,"Suspicious","Untrusted"))</f>
        <v>Trusted</v>
      </c>
    </row>
    <row r="3" spans="1:9">
      <c r="A3" t="s">
        <v>10</v>
      </c>
      <c r="B3" t="s">
        <v>14</v>
      </c>
      <c r="C3" t="s">
        <v>14</v>
      </c>
      <c r="D3" t="s">
        <v>14</v>
      </c>
      <c r="E3" t="s">
        <v>15</v>
      </c>
      <c r="F3" t="s">
        <v>15</v>
      </c>
      <c r="G3" t="s">
        <v>15</v>
      </c>
      <c r="H3" s="1">
        <f t="shared" ref="H3:H6" si="0">IF(B3="Yes",2,0)+IF(C3="Yes",2,0)+IF(D3="Yes",1,0)-IF(E3="Yes",3,0)-IF(F3="Yes",2,0)-IF(G3="Yes",3,0)</f>
        <v>5</v>
      </c>
      <c r="I3" s="1" t="str">
        <f t="shared" ref="I3:I6" si="1">IF(H3&gt;=3,"Trusted",IF(H3&gt;=0,"Suspicious","Untrusted"))</f>
        <v>Trusted</v>
      </c>
    </row>
    <row r="4" spans="1:9">
      <c r="A4" t="s">
        <v>11</v>
      </c>
      <c r="B4" t="s">
        <v>14</v>
      </c>
      <c r="C4" t="s">
        <v>14</v>
      </c>
      <c r="D4" t="s">
        <v>14</v>
      </c>
      <c r="E4" t="s">
        <v>15</v>
      </c>
      <c r="F4" t="s">
        <v>15</v>
      </c>
      <c r="G4" t="s">
        <v>15</v>
      </c>
      <c r="H4" s="1">
        <f t="shared" si="0"/>
        <v>5</v>
      </c>
      <c r="I4" s="1" t="str">
        <f t="shared" si="1"/>
        <v>Trusted</v>
      </c>
    </row>
    <row r="5" spans="1:9">
      <c r="A5" t="s">
        <v>12</v>
      </c>
      <c r="B5" t="s">
        <v>14</v>
      </c>
      <c r="C5" t="s">
        <v>14</v>
      </c>
      <c r="D5" t="s">
        <v>14</v>
      </c>
      <c r="E5" t="s">
        <v>15</v>
      </c>
      <c r="F5" t="s">
        <v>15</v>
      </c>
      <c r="G5" t="s">
        <v>15</v>
      </c>
      <c r="H5" s="1">
        <f t="shared" si="0"/>
        <v>5</v>
      </c>
      <c r="I5" s="1" t="str">
        <f t="shared" si="1"/>
        <v>Trusted</v>
      </c>
    </row>
    <row r="6" spans="1:9">
      <c r="A6" t="s">
        <v>13</v>
      </c>
      <c r="B6" t="s">
        <v>15</v>
      </c>
      <c r="C6" t="s">
        <v>15</v>
      </c>
      <c r="D6" t="s">
        <v>15</v>
      </c>
      <c r="E6" t="s">
        <v>14</v>
      </c>
      <c r="F6" t="s">
        <v>14</v>
      </c>
      <c r="G6" t="s">
        <v>14</v>
      </c>
      <c r="H6" s="1">
        <f t="shared" si="0"/>
        <v>-8</v>
      </c>
      <c r="I6" s="1" t="str">
        <f t="shared" si="1"/>
        <v>Untrusted</v>
      </c>
    </row>
  </sheetData>
  <conditionalFormatting sqref="I2:I6">
    <cfRule type="expression" dxfId="3" priority="3">
      <formula>I2="Trusted"</formula>
    </cfRule>
    <cfRule type="expression" dxfId="4" priority="2">
      <formula>I2="Untrusted"</formula>
    </cfRule>
    <cfRule type="expression" dxfId="2" priority="1">
      <formula>I2="Suspicious"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bryan hinostroza</dc:creator>
  <cp:lastModifiedBy>bryan hinostroza</cp:lastModifiedBy>
  <dcterms:created xsi:type="dcterms:W3CDTF">2026-10-26T02:43:10Z</dcterms:created>
  <dcterms:modified xsi:type="dcterms:W3CDTF">2026-10-26T03:26:20Z</dcterms:modified>
</cp:coreProperties>
</file>